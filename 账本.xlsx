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35" windowHeight="6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<sst xmlns="http://schemas.openxmlformats.org/spreadsheetml/2006/main" count="32" uniqueCount="23">
  <si>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r>
      <rPr>
        <b/>
        <sz val="11"/>
        <color theme="1"/>
        <rFont val="宋体"/>
        <charset val="134"/>
      </rPr>
      <t>时间</t>
    </r>
  </si>
  <si>
    <r>
      <rPr>
        <b/>
        <sz val="11"/>
        <color theme="1"/>
        <rFont val="宋体"/>
        <charset val="134"/>
      </rPr>
      <t>基础基金</t>
    </r>
  </si>
  <si>
    <r>
      <rPr>
        <b/>
        <sz val="11"/>
        <color theme="1"/>
        <rFont val="宋体"/>
        <charset val="134"/>
      </rPr>
      <t>育儿基金</t>
    </r>
  </si>
  <si>
    <r>
      <rPr>
        <b/>
        <sz val="11"/>
        <color theme="1"/>
        <rFont val="宋体"/>
        <charset val="134"/>
      </rPr>
      <t>教育基金</t>
    </r>
  </si>
  <si>
    <r>
      <rPr>
        <b/>
        <sz val="11"/>
        <color theme="1"/>
        <rFont val="宋体"/>
        <charset val="134"/>
      </rPr>
      <t>备用基金</t>
    </r>
  </si>
  <si>
    <t>小羡收入</t>
  </si>
  <si>
    <t>合计总余额</t>
  </si>
  <si>
    <r>
      <rPr>
        <b/>
        <sz val="11"/>
        <color theme="1"/>
        <rFont val="宋体"/>
        <charset val="134"/>
      </rPr>
      <t>杨</t>
    </r>
  </si>
  <si>
    <r>
      <rPr>
        <b/>
        <sz val="11"/>
        <color theme="1"/>
        <rFont val="宋体"/>
        <charset val="134"/>
      </rPr>
      <t>欢</t>
    </r>
  </si>
  <si>
    <r>
      <rPr>
        <b/>
        <sz val="11"/>
        <color theme="1"/>
        <rFont val="宋体"/>
        <charset val="134"/>
      </rPr>
      <t>支出</t>
    </r>
  </si>
  <si>
    <t>其他补贴</t>
  </si>
  <si>
    <t>杨</t>
  </si>
  <si>
    <t>欢</t>
  </si>
  <si>
    <t>工资</t>
  </si>
  <si>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</si>
  <si>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</si>
  <si>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</si>
  <si>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</si>
  <si>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</si>
  <si>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</si>
  <si>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2025</t>
    </r>
    <r>
      <rPr>
        <sz val="11"/>
        <color theme="1"/>
        <rFont val="宋体"/>
        <charset val="134"/>
      </rPr>
      <t>年结余</t>
    </r>
  </si>
  <si>
    <t>当前合计总余额</t>
  </si>
  <si>
    <t>2026年结余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</si>
</sst>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9" fillId="6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57" fontId="0" fillId="0" borderId="5" xfId="0" applyNumberForma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57" fontId="0" fillId="0" borderId="13" xfId="0" applyNumberFormat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 wrapText="1"/>
    </xf>
    <xf numFmtId="0" fontId="3" fillId="2" borderId="5" xfId="0" applyFont="1" applyFill="1" applyBorder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zoomScale="85" zoomScaleNormal="85" workbookViewId="0">
      <selection activeCell="T13" sqref="T13"/>
    </sheetView>
  </sheetViews>
  <sheetFormatPr defaultColWidth="9" defaultRowHeight="13.5"/>
  <cols>
    <col min="1" max="1" width="10.625" customWidth="1"/>
    <col min="17" max="18" width="10.875" customWidth="1"/>
  </cols>
  <sheetData>
    <row r="1" spans="1:19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 t="s">
        <v>3</v>
      </c>
      <c r="J1" s="2"/>
      <c r="K1" s="2"/>
      <c r="L1" s="2" t="s">
        <v>4</v>
      </c>
      <c r="M1" s="2"/>
      <c r="N1" s="2"/>
      <c r="O1" s="3" t="s">
        <v>5</v>
      </c>
      <c r="P1" s="4"/>
      <c r="Q1" s="4"/>
      <c r="R1" s="5" t="s">
        <v>6</v>
      </c>
    </row>
    <row r="2" ht="14.25" spans="1:19">
      <c r="A2" s="6"/>
      <c r="B2" s="2">
        <f>97183.29-39800</f>
        <v>57383.29</v>
      </c>
      <c r="C2" s="2"/>
      <c r="D2" s="2"/>
      <c r="E2" s="2">
        <v>20708.79</v>
      </c>
      <c r="F2" s="2"/>
      <c r="G2" s="2"/>
      <c r="H2" s="2"/>
      <c r="I2" s="2">
        <v>36000</v>
      </c>
      <c r="J2" s="2"/>
      <c r="K2" s="2"/>
      <c r="L2" s="2">
        <v>26900</v>
      </c>
      <c r="M2" s="2"/>
      <c r="N2" s="2"/>
      <c r="O2" s="7"/>
      <c r="P2" s="8"/>
      <c r="Q2" s="8"/>
      <c r="R2" s="9"/>
    </row>
    <row r="3" spans="1:19">
      <c r="A3" s="10"/>
      <c r="B3" s="2" t="s">
        <v>7</v>
      </c>
      <c r="C3" s="2" t="s">
        <v>8</v>
      </c>
      <c r="D3" s="2" t="s">
        <v>9</v>
      </c>
      <c r="E3" s="2" t="s">
        <v>7</v>
      </c>
      <c r="F3" s="2" t="s">
        <v>8</v>
      </c>
      <c r="G3" s="11" t="s">
        <v>10</v>
      </c>
      <c r="H3" s="2" t="s">
        <v>9</v>
      </c>
      <c r="I3" s="2" t="s">
        <v>7</v>
      </c>
      <c r="J3" s="2" t="s">
        <v>8</v>
      </c>
      <c r="K3" s="2" t="s">
        <v>9</v>
      </c>
      <c r="L3" s="2" t="s">
        <v>7</v>
      </c>
      <c r="M3" s="2" t="s">
        <v>8</v>
      </c>
      <c r="N3" s="2" t="s">
        <v>9</v>
      </c>
      <c r="O3" s="11" t="s">
        <v>11</v>
      </c>
      <c r="P3" s="12" t="s">
        <v>12</v>
      </c>
      <c r="Q3" s="13" t="s">
        <v>13</v>
      </c>
      <c r="R3" s="9"/>
    </row>
    <row r="4" ht="15" spans="1:19">
      <c r="A4" s="14" t="s">
        <v>14</v>
      </c>
      <c r="B4" s="14"/>
      <c r="C4" s="14"/>
      <c r="D4" s="14">
        <v>2644.65</v>
      </c>
      <c r="E4" s="14"/>
      <c r="F4" s="14"/>
      <c r="G4" s="14"/>
      <c r="H4" s="14">
        <f>4772.77-51.41</f>
        <v>4721.36</v>
      </c>
      <c r="I4" s="14"/>
      <c r="J4" s="14"/>
      <c r="K4" s="14"/>
      <c r="L4" s="14"/>
      <c r="M4" s="14"/>
      <c r="N4" s="14"/>
      <c r="O4" s="14">
        <f>1200+600+400+400+10000+600+400+200+600</f>
        <v>14400</v>
      </c>
      <c r="P4" s="15">
        <f>10000+600+200+800+600+400+6200+1000+1600+400+200+400</f>
        <v>22400</v>
      </c>
      <c r="Q4" s="16"/>
      <c r="R4" s="9"/>
    </row>
    <row r="5" ht="15" spans="1:19">
      <c r="A5" s="14" t="s">
        <v>15</v>
      </c>
      <c r="B5" s="14">
        <v>500</v>
      </c>
      <c r="C5" s="14">
        <v>500</v>
      </c>
      <c r="D5" s="14">
        <v>1124.39</v>
      </c>
      <c r="E5" s="14">
        <v>1000</v>
      </c>
      <c r="F5" s="14">
        <v>1000</v>
      </c>
      <c r="G5" s="14"/>
      <c r="H5" s="14">
        <f>10.87+168.47+9.43+69.9+18.24+149+92.91+10.65+172.14+178+6.2+29.1+24.78+291.06+195+7.8+98+19.9+9.7+30.35+30.6+34.4+56.9+68+9.7+22.81+75.78+35.9+399+9.9</f>
        <v>2334.49</v>
      </c>
      <c r="I5" s="14">
        <v>2000</v>
      </c>
      <c r="J5" s="14">
        <v>1500</v>
      </c>
      <c r="K5" s="14"/>
      <c r="L5" s="14">
        <v>1500</v>
      </c>
      <c r="M5" s="14">
        <v>1200</v>
      </c>
      <c r="N5" s="14"/>
      <c r="O5" s="14"/>
      <c r="P5" s="17"/>
      <c r="Q5" s="16"/>
      <c r="R5" s="9"/>
    </row>
    <row r="6" ht="15" spans="1:19">
      <c r="A6" s="14" t="s">
        <v>16</v>
      </c>
      <c r="B6" s="14">
        <v>500</v>
      </c>
      <c r="C6" s="14">
        <v>500</v>
      </c>
      <c r="D6" s="14">
        <v>2647.04</v>
      </c>
      <c r="E6" s="14">
        <v>1000</v>
      </c>
      <c r="F6" s="14">
        <v>1000</v>
      </c>
      <c r="G6" s="14"/>
      <c r="H6" s="14">
        <f>350+16.85+38.88+16.8+168+84.9+29.9+11.5+38.85+30.9+18.54+11.9+10.32+6.8</f>
        <v>834.14</v>
      </c>
      <c r="I6" s="14">
        <v>2000</v>
      </c>
      <c r="J6" s="14">
        <v>1000</v>
      </c>
      <c r="K6" s="14"/>
      <c r="L6" s="14">
        <v>1500</v>
      </c>
      <c r="M6" s="14">
        <v>1000</v>
      </c>
      <c r="N6" s="14"/>
      <c r="O6" s="14"/>
      <c r="P6" s="17"/>
      <c r="Q6" s="16"/>
      <c r="R6" s="9"/>
    </row>
    <row r="7" ht="15" spans="1:19">
      <c r="A7" s="14" t="s">
        <v>17</v>
      </c>
      <c r="B7" s="14">
        <v>800</v>
      </c>
      <c r="C7" s="14">
        <v>800</v>
      </c>
      <c r="D7" s="14">
        <v>11954.99</v>
      </c>
      <c r="E7" s="14">
        <v>1000</v>
      </c>
      <c r="F7" s="14">
        <v>1000</v>
      </c>
      <c r="G7" s="14"/>
      <c r="H7" s="14">
        <f>38.85+101.9+9.5+44.03+10.74+6.79+95+17.6+19.9+17.91+20+96+12.3+9+14.99</f>
        <v>514.51</v>
      </c>
      <c r="I7" s="14">
        <v>2000</v>
      </c>
      <c r="J7" s="14">
        <v>2000</v>
      </c>
      <c r="K7" s="14"/>
      <c r="L7" s="14">
        <v>1200</v>
      </c>
      <c r="M7" s="14">
        <v>1000</v>
      </c>
      <c r="N7" s="14"/>
      <c r="O7" s="14"/>
      <c r="P7" s="17"/>
      <c r="Q7" s="16"/>
      <c r="R7" s="9"/>
    </row>
    <row r="8" ht="15" spans="1:19">
      <c r="A8" s="14" t="s">
        <v>18</v>
      </c>
      <c r="B8" s="14">
        <v>800</v>
      </c>
      <c r="C8" s="14">
        <v>800</v>
      </c>
      <c r="D8" s="14">
        <v>7611.37</v>
      </c>
      <c r="E8" s="14">
        <v>1000</v>
      </c>
      <c r="F8" s="14">
        <v>1000</v>
      </c>
      <c r="G8" s="14"/>
      <c r="H8" s="14">
        <f>5.59+14.9+120+18+36.8+40+19.12+58+19.9+36.9</f>
        <v>369.21</v>
      </c>
      <c r="I8" s="14">
        <v>1800</v>
      </c>
      <c r="J8" s="14">
        <v>2000</v>
      </c>
      <c r="K8" s="14"/>
      <c r="L8" s="14">
        <v>700</v>
      </c>
      <c r="M8" s="14">
        <v>500</v>
      </c>
      <c r="N8" s="14"/>
      <c r="O8" s="14"/>
      <c r="P8" s="17"/>
      <c r="Q8" s="14">
        <v>3600</v>
      </c>
      <c r="R8" s="9"/>
    </row>
    <row r="9" ht="15" spans="1:19">
      <c r="A9" s="18" t="s">
        <v>19</v>
      </c>
      <c r="B9" s="14">
        <v>800</v>
      </c>
      <c r="C9" s="14">
        <v>800</v>
      </c>
      <c r="D9" s="14">
        <v>2745.35</v>
      </c>
      <c r="E9" s="14">
        <v>1000</v>
      </c>
      <c r="F9" s="14">
        <v>1000</v>
      </c>
      <c r="G9" s="14">
        <v>1000</v>
      </c>
      <c r="H9" s="14">
        <f>7.5+266.2+21+17.51+36.41+228+20.51+41.1+23+154.69+160.3</f>
        <v>976.22</v>
      </c>
      <c r="I9" s="14">
        <v>1200</v>
      </c>
      <c r="J9" s="14">
        <v>1200</v>
      </c>
      <c r="K9" s="14"/>
      <c r="L9" s="14">
        <v>1000</v>
      </c>
      <c r="M9" s="14">
        <v>1000</v>
      </c>
      <c r="N9" s="14"/>
      <c r="P9" s="17"/>
      <c r="Q9" s="16"/>
      <c r="R9" s="9"/>
    </row>
    <row r="10" ht="15" spans="1:19">
      <c r="A10" s="19" t="s">
        <v>20</v>
      </c>
      <c r="B10" s="20">
        <f>B2+B4+B5+B6+B7+B8+B9+C4+C5+C6+C7+C8+C9-D4-D5-D6-D7-D8-D9</f>
        <v>35455.5</v>
      </c>
      <c r="C10" s="20"/>
      <c r="D10" s="21"/>
      <c r="E10" s="22">
        <f>E2+E4+E5+E6+E7+E8+E9+F4+F5+F6+F7+F8+F9+G9-H4-H5-H6-H7-H8-H9</f>
        <v>21958.86</v>
      </c>
      <c r="F10" s="20"/>
      <c r="G10" s="20"/>
      <c r="H10" s="21"/>
      <c r="I10" s="22">
        <f>I2+I4+I5+I6+I7+I8+I9+J4+J5+J6+J7+J8+J9-K4-K5-K6-K7-K8-K9</f>
        <v>52700</v>
      </c>
      <c r="J10" s="20"/>
      <c r="K10" s="21"/>
      <c r="L10" s="22">
        <f>L2+L4+L5+L6+L7+L8+L9+M4+M5+M6+M7+M8+M9-N4-N5-N6-N7-N8-N9</f>
        <v>37500</v>
      </c>
      <c r="M10" s="20"/>
      <c r="N10" s="21"/>
      <c r="O10" s="22">
        <v>40400</v>
      </c>
      <c r="P10" s="20"/>
      <c r="Q10" s="20"/>
      <c r="R10" s="19">
        <f>B10+E10+I10+L10+O10</f>
        <v>188014.36</v>
      </c>
      <c r="S10" s="23"/>
    </row>
    <row r="11" ht="15" spans="1:19">
      <c r="A11" s="24">
        <v>46023</v>
      </c>
      <c r="B11" s="25">
        <v>800</v>
      </c>
      <c r="C11" s="14">
        <v>1000</v>
      </c>
      <c r="D11" s="14">
        <v>3682.39</v>
      </c>
      <c r="E11" s="14">
        <v>1000</v>
      </c>
      <c r="F11" s="14">
        <v>2000</v>
      </c>
      <c r="G11" s="14"/>
      <c r="H11" s="14">
        <f>22+83.1+83.1+206+27.28+299+574+159+32.91+18.36+41.81</f>
        <v>1546.56</v>
      </c>
      <c r="I11" s="14">
        <v>1200</v>
      </c>
      <c r="J11" s="14">
        <v>2400</v>
      </c>
      <c r="K11" s="14"/>
      <c r="L11" s="14">
        <v>1000</v>
      </c>
      <c r="M11" s="14">
        <v>2000</v>
      </c>
      <c r="N11" s="14"/>
      <c r="O11" s="14"/>
      <c r="P11" s="14"/>
      <c r="Q11" s="14"/>
      <c r="R11" s="26" t="s">
        <v>21</v>
      </c>
    </row>
    <row r="12" ht="15" spans="1:19">
      <c r="A12" s="24">
        <v>46055</v>
      </c>
      <c r="B12" s="25">
        <v>1500</v>
      </c>
      <c r="C12" s="14">
        <v>1500</v>
      </c>
      <c r="D12" s="14">
        <v>5187.82</v>
      </c>
      <c r="E12" s="14">
        <v>1800</v>
      </c>
      <c r="F12" s="14">
        <v>1000</v>
      </c>
      <c r="G12" s="14"/>
      <c r="H12" s="2">
        <f>305.88+308+308+309+304+53.6+73.38+78.3+49.75+59+23+200+25.8</f>
        <v>2097.71</v>
      </c>
      <c r="I12" s="14">
        <v>1500</v>
      </c>
      <c r="J12" s="14">
        <v>1000</v>
      </c>
      <c r="K12" s="14"/>
      <c r="L12" s="14">
        <v>2000</v>
      </c>
      <c r="M12" s="14">
        <v>1500</v>
      </c>
      <c r="N12" s="14"/>
      <c r="O12" s="14">
        <f>2880</f>
        <v>2880</v>
      </c>
      <c r="P12" s="14">
        <f>4600</f>
        <v>4600</v>
      </c>
      <c r="Q12" s="14"/>
      <c r="R12" s="27"/>
    </row>
    <row r="13" ht="15" spans="1:19">
      <c r="A13" s="24">
        <v>46084</v>
      </c>
      <c r="B13" s="25">
        <v>1500</v>
      </c>
      <c r="C13" s="14">
        <v>1500</v>
      </c>
      <c r="D13" s="14">
        <v>2533.05</v>
      </c>
      <c r="E13" s="14">
        <v>1000</v>
      </c>
      <c r="F13" s="14">
        <v>1000</v>
      </c>
      <c r="G13" s="14"/>
      <c r="H13" s="14">
        <f>6.78+32.78+68+68+68+50+68+68+68+68+66+15.73+97+58+20+30+15+50+7.9</f>
        <v>925.19</v>
      </c>
      <c r="I13" s="14">
        <v>1000</v>
      </c>
      <c r="J13" s="14">
        <v>1000</v>
      </c>
      <c r="K13" s="14"/>
      <c r="L13" s="14">
        <v>1500</v>
      </c>
      <c r="M13" s="14">
        <v>1000</v>
      </c>
      <c r="N13" s="14"/>
      <c r="O13" s="14"/>
      <c r="P13" s="14"/>
      <c r="Q13" s="14">
        <v>3600</v>
      </c>
      <c r="R13" s="27"/>
    </row>
    <row r="14" ht="15" spans="1:19">
      <c r="A14" s="24">
        <v>46116</v>
      </c>
      <c r="B14" s="25">
        <v>1200</v>
      </c>
      <c r="C14" s="14">
        <v>1200</v>
      </c>
      <c r="D14" s="14">
        <f>1000+2185.6</f>
        <v>3185.6</v>
      </c>
      <c r="E14" s="14">
        <v>1300</v>
      </c>
      <c r="F14" s="14">
        <v>1200</v>
      </c>
      <c r="G14" s="14"/>
      <c r="H14" s="14">
        <f>15.1+33.7+11.94+29+7.4+102+22.72+138+138+138+135+34.11+40+189+24.8+20+90+224</f>
        <v>1392.77</v>
      </c>
      <c r="I14" s="14">
        <v>1000</v>
      </c>
      <c r="J14" s="14">
        <v>1000</v>
      </c>
      <c r="K14" s="14"/>
      <c r="L14" s="14">
        <v>1500</v>
      </c>
      <c r="M14" s="14">
        <v>1500</v>
      </c>
      <c r="N14" s="14"/>
      <c r="O14" s="14"/>
      <c r="P14" s="14"/>
      <c r="Q14" s="14"/>
      <c r="R14" s="27"/>
    </row>
    <row r="15" ht="15" spans="1:19">
      <c r="A15" s="24">
        <v>46147</v>
      </c>
      <c r="B15" s="25">
        <v>1200</v>
      </c>
      <c r="C15" s="14">
        <v>1200</v>
      </c>
      <c r="D15" s="14">
        <f>1000+250+3680.07+59</f>
        <v>4989.07</v>
      </c>
      <c r="E15" s="14">
        <v>1300</v>
      </c>
      <c r="F15" s="14">
        <v>1200</v>
      </c>
      <c r="G15" s="14">
        <v>2000</v>
      </c>
      <c r="H15" s="14">
        <f>20+15+26.8+49+152.1+138+138+95.1+34.6+624+16.9+224</f>
        <v>1533.5</v>
      </c>
      <c r="I15" s="14">
        <v>1000</v>
      </c>
      <c r="J15" s="14">
        <v>1000</v>
      </c>
      <c r="K15" s="14"/>
      <c r="L15" s="14">
        <v>1500</v>
      </c>
      <c r="M15" s="14">
        <v>1500</v>
      </c>
      <c r="N15" s="14"/>
      <c r="O15" s="14">
        <f>800</f>
        <v>800</v>
      </c>
      <c r="P15" s="14">
        <f>800+200+200</f>
        <v>1200</v>
      </c>
      <c r="Q15" s="14"/>
      <c r="R15" s="27"/>
    </row>
    <row r="16" ht="15" spans="1:19">
      <c r="A16" s="24">
        <v>46179</v>
      </c>
      <c r="B16" s="25">
        <v>1500</v>
      </c>
      <c r="C16" s="14">
        <v>1500</v>
      </c>
      <c r="D16" s="14">
        <f>1000+250+3710.53+2037.04</f>
        <v>6997.57</v>
      </c>
      <c r="E16" s="14">
        <v>1000</v>
      </c>
      <c r="F16" s="14">
        <v>1000</v>
      </c>
      <c r="G16" s="14"/>
      <c r="H16" s="14">
        <f>21.37+12.95+11.78+10+10+18.24+624+19.9+20+63+21.35+279.42+13.75+19.9+29.6+24.9+110.58+39.9+624+27.48+16.05+869+18.27+22.8+29.88+16.05+36.8+32.8</f>
        <v>3043.77</v>
      </c>
      <c r="I16" s="14">
        <v>1000</v>
      </c>
      <c r="J16" s="14">
        <v>1000</v>
      </c>
      <c r="K16" s="14"/>
      <c r="L16" s="14">
        <v>1500</v>
      </c>
      <c r="M16" s="14">
        <v>1500</v>
      </c>
      <c r="N16" s="14"/>
      <c r="O16" s="14">
        <v>600</v>
      </c>
      <c r="P16" s="14"/>
      <c r="Q16" s="14"/>
      <c r="R16" s="27"/>
    </row>
    <row r="17" ht="15" spans="1:18">
      <c r="A17" s="24">
        <v>46210</v>
      </c>
      <c r="B17" s="25">
        <v>1500</v>
      </c>
      <c r="C17" s="14">
        <v>1500</v>
      </c>
      <c r="D17" s="14">
        <f>1000+250</f>
        <v>1250</v>
      </c>
      <c r="E17" s="14">
        <v>1500</v>
      </c>
      <c r="F17" s="14">
        <v>1500</v>
      </c>
      <c r="G17" s="14"/>
      <c r="H17" s="14">
        <f>52+19.9+33.8+32.5+5+20</f>
        <v>163.2</v>
      </c>
      <c r="I17" s="14">
        <v>1000</v>
      </c>
      <c r="J17" s="14">
        <v>1000</v>
      </c>
      <c r="K17" s="14"/>
      <c r="L17" s="14">
        <v>1000</v>
      </c>
      <c r="M17" s="14">
        <v>1000</v>
      </c>
      <c r="N17" s="14"/>
      <c r="O17" s="14"/>
      <c r="P17" s="14"/>
      <c r="Q17" s="14"/>
      <c r="R17" s="27"/>
    </row>
    <row r="18" ht="15" spans="1:18">
      <c r="A18" s="24">
        <v>46242</v>
      </c>
      <c r="B18" s="2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7"/>
    </row>
    <row r="19" ht="15" spans="1:18">
      <c r="A19" s="24">
        <v>46274</v>
      </c>
      <c r="B19" s="2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27"/>
    </row>
    <row r="20" ht="15" spans="1:18">
      <c r="A20" s="24">
        <v>46305</v>
      </c>
      <c r="B20" s="2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27"/>
    </row>
    <row r="21" ht="15" spans="1:18">
      <c r="A21" s="24">
        <v>46337</v>
      </c>
      <c r="B21" s="2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27"/>
    </row>
    <row r="22" ht="15" spans="1:18">
      <c r="A22" s="28">
        <v>46368</v>
      </c>
      <c r="B22" s="2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30"/>
    </row>
    <row r="23" ht="15" spans="1:18">
      <c r="A23" s="31" t="s">
        <v>22</v>
      </c>
      <c r="B23" s="32">
        <f>SUM(B11:C22)-SUM(D11:D22)+B10</f>
        <v>26230</v>
      </c>
      <c r="C23" s="33"/>
      <c r="D23" s="34"/>
      <c r="E23" s="35">
        <f>SUM(E11:G22)-SUM(H11:H22)+E10</f>
        <v>31056.16</v>
      </c>
      <c r="F23" s="35"/>
      <c r="G23" s="35"/>
      <c r="H23" s="35"/>
      <c r="I23" s="33">
        <f>SUM(I11:J22)-SUM(K11:K22)+I10</f>
        <v>68800</v>
      </c>
      <c r="J23" s="33"/>
      <c r="K23" s="34"/>
      <c r="L23" s="33">
        <f>SUM(L11:M22)-SUM(N11:N22)+L10</f>
        <v>57500</v>
      </c>
      <c r="M23" s="33"/>
      <c r="N23" s="34"/>
      <c r="O23" s="33">
        <f>SUM(O11:Q22)+O10</f>
        <v>54080</v>
      </c>
      <c r="P23" s="33"/>
      <c r="Q23" s="34"/>
      <c r="R23" s="19">
        <f>R10+B23+E23+I23+L23+O23</f>
        <v>425680.52</v>
      </c>
    </row>
  </sheetData>
  <sheetProtection formatCells="0" formatColumns="0" formatRows="0" insertRows="0" insertColumns="0" insertHyperlinks="0" deleteColumns="0" deleteRows="0" sort="0" autoFilter="0" pivotTables="0"/>
  <mergeCells count="22">
    <mergeCell ref="B1:D1"/>
    <mergeCell ref="E1:H1"/>
    <mergeCell ref="I1:K1"/>
    <mergeCell ref="L1:N1"/>
    <mergeCell ref="B2:D2"/>
    <mergeCell ref="E2:H2"/>
    <mergeCell ref="I2:K2"/>
    <mergeCell ref="L2:N2"/>
    <mergeCell ref="B10:D10"/>
    <mergeCell ref="E10:H10"/>
    <mergeCell ref="I10:K10"/>
    <mergeCell ref="L10:N10"/>
    <mergeCell ref="O10:Q10"/>
    <mergeCell ref="B23:D23"/>
    <mergeCell ref="E23:H23"/>
    <mergeCell ref="I23:K23"/>
    <mergeCell ref="L23:N23"/>
    <mergeCell ref="O23:Q23"/>
    <mergeCell ref="A1:A3"/>
    <mergeCell ref="R1:R9"/>
    <mergeCell ref="R11:R22"/>
    <mergeCell ref="O1:Q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Z.Y.歡</cp:lastModifiedBy>
  <dcterms:created xsi:type="dcterms:W3CDTF">2025-09-26T13:25:00Z</dcterms:created>
  <dcterms:modified xsi:type="dcterms:W3CDTF">2026-07-11T05:54:10Z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F3A6F464C1204E728FDFB7EEBFCF036B_11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